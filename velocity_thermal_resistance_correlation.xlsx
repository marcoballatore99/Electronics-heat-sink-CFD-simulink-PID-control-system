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ballatore_utwente_nl/Documents/Documents/PhD/CFD/Ansys Fluent/Cases/Conjugate heat transfer/Heat sink/"/>
    </mc:Choice>
  </mc:AlternateContent>
  <xr:revisionPtr revIDLastSave="100" documentId="8_{57777016-910F-4870-B3A3-1DADAF6CC8CC}" xr6:coauthVersionLast="47" xr6:coauthVersionMax="47" xr10:uidLastSave="{BECA575E-A7DB-4F0A-BE6D-34E6809EF9E2}"/>
  <bookViews>
    <workbookView xWindow="-108" yWindow="-108" windowWidth="23256" windowHeight="12456" xr2:uid="{442029EA-720B-43CE-A3F9-72B2B08A0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1" i="1"/>
  <c r="E32" i="1"/>
  <c r="E33" i="1"/>
  <c r="E34" i="1"/>
  <c r="E35" i="1"/>
  <c r="E36" i="1"/>
  <c r="E37" i="1"/>
  <c r="E25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4" i="1"/>
  <c r="C34" i="1"/>
  <c r="C35" i="1" s="1"/>
  <c r="C36" i="1" s="1"/>
  <c r="C37" i="1" s="1"/>
  <c r="C26" i="1"/>
  <c r="C27" i="1"/>
  <c r="C28" i="1"/>
  <c r="C29" i="1"/>
  <c r="C30" i="1"/>
  <c r="C31" i="1"/>
  <c r="C32" i="1" s="1"/>
  <c r="C33" i="1" s="1"/>
  <c r="C25" i="1"/>
  <c r="B36" i="1"/>
  <c r="B37" i="1"/>
  <c r="B38" i="1"/>
  <c r="B39" i="1"/>
  <c r="B35" i="1"/>
  <c r="B31" i="1"/>
  <c r="B32" i="1"/>
  <c r="B33" i="1"/>
  <c r="B34" i="1"/>
  <c r="B30" i="1"/>
  <c r="B26" i="1"/>
  <c r="B27" i="1"/>
  <c r="B28" i="1"/>
  <c r="B29" i="1"/>
  <c r="B25" i="1"/>
  <c r="B21" i="1"/>
  <c r="B22" i="1"/>
  <c r="B23" i="1"/>
  <c r="B24" i="1"/>
  <c r="B20" i="1"/>
  <c r="B16" i="1"/>
  <c r="B17" i="1"/>
  <c r="B18" i="1"/>
  <c r="B19" i="1"/>
  <c r="B15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B13" i="1"/>
  <c r="H3" i="1" l="1"/>
  <c r="H5" i="1"/>
  <c r="H2" i="1"/>
  <c r="H6" i="1"/>
  <c r="H4" i="1"/>
</calcChain>
</file>

<file path=xl/sharedStrings.xml><?xml version="1.0" encoding="utf-8"?>
<sst xmlns="http://schemas.openxmlformats.org/spreadsheetml/2006/main" count="22" uniqueCount="21">
  <si>
    <t>Data</t>
  </si>
  <si>
    <t>Heat sink convective area [m2]</t>
  </si>
  <si>
    <t>Heat sink conductive area [m2]</t>
  </si>
  <si>
    <t>Air temperature [degC]</t>
  </si>
  <si>
    <t>Thermal power [W]</t>
  </si>
  <si>
    <t>Thermal power density [W/m3]</t>
  </si>
  <si>
    <t>Value</t>
  </si>
  <si>
    <t>Silicon volume [m3]</t>
  </si>
  <si>
    <t>Air inlet velocity [m/s]</t>
  </si>
  <si>
    <t>Maximum temperature [degC]</t>
  </si>
  <si>
    <t>Average temperature [degC]</t>
  </si>
  <si>
    <t>Minimum temperature [degC]</t>
  </si>
  <si>
    <t>Max delta_T</t>
  </si>
  <si>
    <t>Average delta_T</t>
  </si>
  <si>
    <t>Min delta_T</t>
  </si>
  <si>
    <t>Heat transfer coefficient [W/m2K]</t>
  </si>
  <si>
    <t>Dissipated power [W]</t>
  </si>
  <si>
    <t>Inlet air velocity</t>
  </si>
  <si>
    <t>Heat transfer coefficient fitted</t>
  </si>
  <si>
    <t>Thermal resistance fitted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</si>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</sst>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T vs Air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Maximum temperature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1.4</c:v>
                </c:pt>
                <c:pt idx="3">
                  <c:v>2</c:v>
                </c:pt>
                <c:pt idx="4">
                  <c:v>2.6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44</c:v>
                </c:pt>
                <c:pt idx="1">
                  <c:v>27.925000000000001</c:v>
                </c:pt>
                <c:pt idx="2">
                  <c:v>25.151</c:v>
                </c:pt>
                <c:pt idx="3">
                  <c:v>23.945</c:v>
                </c:pt>
                <c:pt idx="4">
                  <c:v>23.260999999999999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E0-426B-AC84-ADBAB7893BEF}"/>
            </c:ext>
          </c:extLst>
        </c:ser>
        <c:ser>
          <c:idx val="1"/>
          <c:order val="1"/>
          <c:tx>
            <c:v>Average temperature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1.4</c:v>
                </c:pt>
                <c:pt idx="3">
                  <c:v>2</c:v>
                </c:pt>
                <c:pt idx="4">
                  <c:v>2.6</c:v>
                </c:pt>
              </c:numCache>
            </c:numRef>
          </c:xVal>
          <c:yVal>
            <c:numRef>
              <c:f>Sheet1!$C$2:$C$6</c:f>
              <c:numCache>
                <c:formatCode>General</c:formatCode>
                <c:ptCount val="5"/>
                <c:pt idx="0">
                  <c:v>43.613</c:v>
                </c:pt>
                <c:pt idx="1">
                  <c:v>27.707999999999998</c:v>
                </c:pt>
                <c:pt idx="2">
                  <c:v>24.934000000000001</c:v>
                </c:pt>
                <c:pt idx="3">
                  <c:v>23.731000000000002</c:v>
                </c:pt>
                <c:pt idx="4">
                  <c:v>23.047999999999998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E0-426B-AC84-ADBAB7893BEF}"/>
            </c:ext>
          </c:extLst>
        </c:ser>
        <c:ser>
          <c:idx val="2"/>
          <c:order val="2"/>
          <c:tx>
            <c:v>Minimum temperature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1.4</c:v>
                </c:pt>
                <c:pt idx="3">
                  <c:v>2</c:v>
                </c:pt>
                <c:pt idx="4">
                  <c:v>2.6</c:v>
                </c:pt>
              </c:numCache>
            </c:numRef>
          </c:xVal>
          <c:yVal>
            <c:numRef>
              <c:f>Sheet1!$D$2:$D$6</c:f>
              <c:numCache>
                <c:formatCode>General</c:formatCode>
                <c:ptCount val="5"/>
                <c:pt idx="0">
                  <c:v>43.174999999999997</c:v>
                </c:pt>
                <c:pt idx="1">
                  <c:v>27.186</c:v>
                </c:pt>
                <c:pt idx="2">
                  <c:v>24.388999999999999</c:v>
                </c:pt>
                <c:pt idx="3">
                  <c:v>23.178000000000001</c:v>
                </c:pt>
                <c:pt idx="4">
                  <c:v>22.494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E0-426B-AC84-ADBAB789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447152"/>
        <c:axId val="1098443552"/>
      </c:scatterChart>
      <c:valAx>
        <c:axId val="109844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</a:t>
                </a:r>
                <a:r>
                  <a:rPr lang="en-US" baseline="0"/>
                  <a:t> velocity [m/s]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43552"/>
        <c:crosses val="autoZero"/>
        <c:crossBetween val="midCat"/>
      </c:valAx>
      <c:valAx>
        <c:axId val="1098443552"/>
        <c:scaling>
          <c:orientation val="minMax"/>
          <c:max val="4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Max T [degC]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4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</a:t>
            </a:r>
            <a:r>
              <a:rPr lang="en-US" baseline="0"/>
              <a:t> transfer coefficient vs Air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48695428696412946"/>
                  <c:y val="1.81018518518518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0.2</c:v>
                </c:pt>
                <c:pt idx="1">
                  <c:v>0.8</c:v>
                </c:pt>
                <c:pt idx="2">
                  <c:v>1.4</c:v>
                </c:pt>
                <c:pt idx="3">
                  <c:v>2</c:v>
                </c:pt>
                <c:pt idx="4">
                  <c:v>2.6</c:v>
                </c:pt>
              </c:numCache>
            </c:numRef>
          </c:xVal>
          <c:yVal>
            <c:numRef>
              <c:f>Sheet1!$H$2:$H$6</c:f>
              <c:numCache>
                <c:formatCode>General</c:formatCode>
                <c:ptCount val="5"/>
                <c:pt idx="0">
                  <c:v>8.7718947368421034</c:v>
                </c:pt>
                <c:pt idx="1">
                  <c:v>26.564728540594384</c:v>
                </c:pt>
                <c:pt idx="2">
                  <c:v>40.870796677190938</c:v>
                </c:pt>
                <c:pt idx="3">
                  <c:v>53.365139083450067</c:v>
                </c:pt>
                <c:pt idx="4">
                  <c:v>64.55856292064108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A5-4B3F-88CB-0F77C9AEAEB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Sheet1!$C$24:$C$37</c:f>
              <c:numCache>
                <c:formatCode>General</c:formatCode>
                <c:ptCount val="14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</c:numCache>
            </c:numRef>
          </c:xVal>
          <c:yVal>
            <c:numRef>
              <c:f>Sheet1!$D$24:$D$37</c:f>
              <c:numCache>
                <c:formatCode>General</c:formatCode>
                <c:ptCount val="14"/>
                <c:pt idx="0">
                  <c:v>0</c:v>
                </c:pt>
                <c:pt idx="1">
                  <c:v>8.8589436210673913</c:v>
                </c:pt>
                <c:pt idx="2">
                  <c:v>15.216183829967747</c:v>
                </c:pt>
                <c:pt idx="3">
                  <c:v>20.879849548508414</c:v>
                </c:pt>
                <c:pt idx="4">
                  <c:v>26.135424295597357</c:v>
                </c:pt>
                <c:pt idx="5">
                  <c:v>31.106999999999999</c:v>
                </c:pt>
                <c:pt idx="6">
                  <c:v>35.863376341692167</c:v>
                </c:pt>
                <c:pt idx="7">
                  <c:v>40.447943744113459</c:v>
                </c:pt>
                <c:pt idx="8">
                  <c:v>44.89038846689251</c:v>
                </c:pt>
                <c:pt idx="9">
                  <c:v>49.212201343236252</c:v>
                </c:pt>
                <c:pt idx="10">
                  <c:v>53.429601840244736</c:v>
                </c:pt>
                <c:pt idx="11">
                  <c:v>57.555229409248348</c:v>
                </c:pt>
                <c:pt idx="12">
                  <c:v>61.599187275644248</c:v>
                </c:pt>
                <c:pt idx="13">
                  <c:v>65.569720126076845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C1-47C4-86A5-C64DCEE6C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761712"/>
        <c:axId val="980762072"/>
      </c:scatterChart>
      <c:valAx>
        <c:axId val="98076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Air</a:t>
                </a:r>
                <a:r>
                  <a:rPr lang="en-US" baseline="0"/>
                  <a:t> velocity [m/s]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762072"/>
        <c:crosses val="autoZero"/>
        <c:crossBetween val="midCat"/>
      </c:valAx>
      <c:valAx>
        <c:axId val="98076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</a:t>
                </a:r>
                <a:r>
                  <a:rPr lang="en-US" baseline="0"/>
                  <a:t> transfer coefficient [W/m2K]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76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Thermal</a:t>
            </a:r>
            <a:r>
              <a:rPr lang="en-US" baseline="0"/>
              <a:t> resistance vs Air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2196325459317585"/>
                  <c:y val="-0.50551655001458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Sheet1!$C$25:$C$37</c:f>
              <c:numCache>
                <c:formatCode>General</c:formatCode>
                <c:ptCount val="13"/>
                <c:pt idx="0">
                  <c:v>0.2</c:v>
                </c:pt>
                <c:pt idx="1">
                  <c:v>0.4</c:v>
                </c:pt>
                <c:pt idx="2">
                  <c:v>0.60000000000000009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1.7999999999999998</c:v>
                </c:pt>
                <c:pt idx="9">
                  <c:v>1.9999999999999998</c:v>
                </c:pt>
                <c:pt idx="10">
                  <c:v>2.1999999999999997</c:v>
                </c:pt>
                <c:pt idx="11">
                  <c:v>2.4</c:v>
                </c:pt>
                <c:pt idx="12">
                  <c:v>2.6</c:v>
                </c:pt>
              </c:numCache>
            </c:numRef>
          </c:xVal>
          <c:yVal>
            <c:numRef>
              <c:f>Sheet1!$E$25:$E$37</c:f>
              <c:numCache>
                <c:formatCode>General</c:formatCode>
                <c:ptCount val="13"/>
                <c:pt idx="0">
                  <c:v>2.3764268607469465</c:v>
                </c:pt>
                <c:pt idx="1">
                  <c:v>1.3835684304421283</c:v>
                </c:pt>
                <c:pt idx="2">
                  <c:v>1.0082750610840152</c:v>
                </c:pt>
                <c:pt idx="3">
                  <c:v>0.80552094126490958</c:v>
                </c:pt>
                <c:pt idx="4">
                  <c:v>0.67678116111959907</c:v>
                </c:pt>
                <c:pt idx="5">
                  <c:v>0.58702313408436957</c:v>
                </c:pt>
                <c:pt idx="6">
                  <c:v>0.52048706634218544</c:v>
                </c:pt>
                <c:pt idx="7">
                  <c:v>0.46897860094202731</c:v>
                </c:pt>
                <c:pt idx="8">
                  <c:v>0.42779292541931474</c:v>
                </c:pt>
                <c:pt idx="9">
                  <c:v>0.39402561227940708</c:v>
                </c:pt>
                <c:pt idx="10">
                  <c:v>0.36578138589722126</c:v>
                </c:pt>
                <c:pt idx="11">
                  <c:v>0.3417680088008464</c:v>
                </c:pt>
                <c:pt idx="12">
                  <c:v>0.32107246360770741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82-4F4C-BF72-4CE4AC073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744704"/>
        <c:axId val="1114738944"/>
      </c:scatterChart>
      <c:valAx>
        <c:axId val="111474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38944"/>
        <c:crosses val="autoZero"/>
        <c:crossBetween val="midCat"/>
      </c:valAx>
      <c:valAx>
        <c:axId val="111473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74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6</xdr:row>
      <xdr:rowOff>38100</xdr:rowOff>
    </xdr:from>
    <xdr:to>
      <xdr:col>4</xdr:col>
      <xdr:colOff>1280160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FF3AE-E364-AB73-B1F8-A149D27892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1333500</xdr:colOff>
      <xdr:row>6</xdr:row>
      <xdr:rowOff>34290</xdr:rowOff>
    </xdr:from>
    <xdr:to>
      <xdr:col>8</xdr:col>
      <xdr:colOff>457200</xdr:colOff>
      <xdr:row>21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4AFA78-7800-8F2C-E571-D83434398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101600</xdr:colOff>
      <xdr:row>22</xdr:row>
      <xdr:rowOff>6350</xdr:rowOff>
    </xdr:from>
    <xdr:to>
      <xdr:col>9</xdr:col>
      <xdr:colOff>406400</xdr:colOff>
      <xdr:row>36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BD2852-53D7-659C-AB70-D7284F064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63F6-51E0-439E-9346-20033E44F570}">
  <dimension ref="A1:H39"/>
  <sheetViews>
    <sheetView tabSelected="1" zoomScale="80" zoomScaleNormal="80" workbookViewId="0">
      <selection activeCell="M29" sqref="M29"/>
    </sheetView>
  </sheetViews>
  <sheetFormatPr defaultRowHeight="14.4" x14ac:dyDescent="0.3"/>
  <cols>
    <col min="1" max="1" width="25.77734375" bestFit="1" customWidth="1"/>
    <col min="2" max="3" width="26.109375" bestFit="1" customWidth="1"/>
    <col min="4" max="4" width="26.88671875" bestFit="1" customWidth="1"/>
    <col min="5" max="5" width="26.109375" bestFit="1" customWidth="1"/>
    <col min="6" max="6" width="14" bestFit="1" customWidth="1"/>
    <col min="7" max="7" width="10.33203125" bestFit="1" customWidth="1"/>
    <col min="8" max="8" width="29" bestFit="1" customWidth="1"/>
  </cols>
  <sheetData>
    <row r="1" spans="1:8" s="5" customFormat="1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spans="1:8" x14ac:dyDescent="0.3">
      <c r="A2" s="1">
        <v>0.2</v>
      </c>
      <c r="B2" s="1">
        <v>44</v>
      </c>
      <c r="C2" s="1">
        <v>43.613</v>
      </c>
      <c r="D2" s="1">
        <v>43.174999999999997</v>
      </c>
      <c r="E2" s="1">
        <f>B2-B$11</f>
        <v>24</v>
      </c>
      <c r="F2" s="1">
        <f>C2-B$11</f>
        <v>23.613</v>
      </c>
      <c r="G2" s="1">
        <f>D2-B$11</f>
        <v>23.174999999999997</v>
      </c>
      <c r="H2" s="1">
        <f>B$13/(B$8*E2)</f>
        <v>8.7718947368421034</v>
      </c>
    </row>
    <row r="3" spans="1:8" x14ac:dyDescent="0.3">
      <c r="A3" s="1">
        <v>0.8</v>
      </c>
      <c r="B3" s="1">
        <v>27.925000000000001</v>
      </c>
      <c r="C3" s="1">
        <v>27.707999999999998</v>
      </c>
      <c r="D3" s="1">
        <v>27.186</v>
      </c>
      <c r="E3" s="1">
        <f t="shared" ref="E3:E6" si="0">B3-B$11</f>
        <v>7.9250000000000007</v>
      </c>
      <c r="F3" s="1">
        <f t="shared" ref="F3:F6" si="1">C3-B$11</f>
        <v>7.7079999999999984</v>
      </c>
      <c r="G3" s="1">
        <f t="shared" ref="G3:G6" si="2">D3-B$11</f>
        <v>7.1859999999999999</v>
      </c>
      <c r="H3" s="1">
        <f t="shared" ref="H3:H6" si="3">B$13/(B$8*E3)</f>
        <v>26.564728540594384</v>
      </c>
    </row>
    <row r="4" spans="1:8" x14ac:dyDescent="0.3">
      <c r="A4" s="1">
        <v>1.4</v>
      </c>
      <c r="B4" s="1">
        <v>25.151</v>
      </c>
      <c r="C4" s="1">
        <v>24.934000000000001</v>
      </c>
      <c r="D4" s="1">
        <v>24.388999999999999</v>
      </c>
      <c r="E4" s="1">
        <f t="shared" si="0"/>
        <v>5.1509999999999998</v>
      </c>
      <c r="F4" s="1">
        <f t="shared" si="1"/>
        <v>4.9340000000000011</v>
      </c>
      <c r="G4" s="1">
        <f t="shared" si="2"/>
        <v>4.3889999999999993</v>
      </c>
      <c r="H4" s="1">
        <f t="shared" si="3"/>
        <v>40.870796677190938</v>
      </c>
    </row>
    <row r="5" spans="1:8" x14ac:dyDescent="0.3">
      <c r="A5" s="1">
        <v>2</v>
      </c>
      <c r="B5" s="1">
        <v>23.945</v>
      </c>
      <c r="C5" s="1">
        <v>23.731000000000002</v>
      </c>
      <c r="D5" s="1">
        <v>23.178000000000001</v>
      </c>
      <c r="E5" s="1">
        <f t="shared" si="0"/>
        <v>3.9450000000000003</v>
      </c>
      <c r="F5" s="1">
        <f t="shared" si="1"/>
        <v>3.7310000000000016</v>
      </c>
      <c r="G5" s="1">
        <f t="shared" si="2"/>
        <v>3.1780000000000008</v>
      </c>
      <c r="H5" s="1">
        <f t="shared" si="3"/>
        <v>53.365139083450067</v>
      </c>
    </row>
    <row r="6" spans="1:8" x14ac:dyDescent="0.3">
      <c r="A6" s="1">
        <v>2.6</v>
      </c>
      <c r="B6" s="1">
        <v>23.260999999999999</v>
      </c>
      <c r="C6" s="1">
        <v>23.047999999999998</v>
      </c>
      <c r="D6" s="1">
        <v>22.494</v>
      </c>
      <c r="E6" s="1">
        <f t="shared" si="0"/>
        <v>3.2609999999999992</v>
      </c>
      <c r="F6" s="1">
        <f t="shared" si="1"/>
        <v>3.0479999999999983</v>
      </c>
      <c r="G6" s="1">
        <f t="shared" si="2"/>
        <v>2.4939999999999998</v>
      </c>
      <c r="H6" s="1">
        <f t="shared" si="3"/>
        <v>64.55856292064108</v>
      </c>
    </row>
    <row r="7" spans="1:8" x14ac:dyDescent="0.3">
      <c r="A7" s="3" t="s">
        <v>0</v>
      </c>
      <c r="B7" s="3" t="s">
        <v>6</v>
      </c>
    </row>
    <row r="8" spans="1:8" x14ac:dyDescent="0.3">
      <c r="A8" s="1" t="s">
        <v>1</v>
      </c>
      <c r="B8" s="1">
        <v>4.7500000000000001E-2</v>
      </c>
    </row>
    <row r="9" spans="1:8" x14ac:dyDescent="0.3">
      <c r="A9" s="1" t="s">
        <v>2</v>
      </c>
      <c r="B9" s="1">
        <v>6.0000000000000001E-3</v>
      </c>
    </row>
    <row r="10" spans="1:8" x14ac:dyDescent="0.3">
      <c r="A10" s="1" t="s">
        <v>7</v>
      </c>
      <c r="B10" s="1">
        <v>6.0000000000000002E-5</v>
      </c>
    </row>
    <row r="11" spans="1:8" x14ac:dyDescent="0.3">
      <c r="A11" s="1" t="s">
        <v>3</v>
      </c>
      <c r="B11" s="1">
        <v>20</v>
      </c>
    </row>
    <row r="12" spans="1:8" x14ac:dyDescent="0.3">
      <c r="A12" s="1" t="s">
        <v>5</v>
      </c>
      <c r="B12" s="1">
        <v>166666</v>
      </c>
    </row>
    <row r="13" spans="1:8" x14ac:dyDescent="0.3">
      <c r="A13" s="1" t="s">
        <v>4</v>
      </c>
      <c r="B13" s="2">
        <f>B12*B10</f>
        <v>9.9999599999999997</v>
      </c>
    </row>
    <row r="14" spans="1:8" x14ac:dyDescent="0.3">
      <c r="A14" s="3" t="s">
        <v>16</v>
      </c>
      <c r="B14" s="3" t="s">
        <v>6</v>
      </c>
    </row>
    <row r="15" spans="1:8" x14ac:dyDescent="0.3">
      <c r="A15" s="1">
        <v>0.2</v>
      </c>
      <c r="B15" s="1">
        <f>H$2*B$8*E2</f>
        <v>9.999959999999998</v>
      </c>
    </row>
    <row r="16" spans="1:8" x14ac:dyDescent="0.3">
      <c r="A16" s="1">
        <v>0.2</v>
      </c>
      <c r="B16" s="1">
        <f t="shared" ref="B16:B19" si="4">H$2*B$8*E3</f>
        <v>3.3020701249999993</v>
      </c>
    </row>
    <row r="17" spans="1:5" x14ac:dyDescent="0.3">
      <c r="A17" s="1">
        <v>0.2</v>
      </c>
      <c r="B17" s="1">
        <f t="shared" si="4"/>
        <v>2.1462414149999995</v>
      </c>
    </row>
    <row r="18" spans="1:5" x14ac:dyDescent="0.3">
      <c r="A18" s="1">
        <v>0.2</v>
      </c>
      <c r="B18" s="1">
        <f t="shared" si="4"/>
        <v>1.6437434249999998</v>
      </c>
    </row>
    <row r="19" spans="1:5" x14ac:dyDescent="0.3">
      <c r="A19" s="1">
        <v>0.2</v>
      </c>
      <c r="B19" s="1">
        <f t="shared" si="4"/>
        <v>1.3587445649999994</v>
      </c>
    </row>
    <row r="20" spans="1:5" x14ac:dyDescent="0.3">
      <c r="A20" s="1">
        <v>0.8</v>
      </c>
      <c r="B20" s="1">
        <f>H$3*B$8*E2</f>
        <v>30.283790536277596</v>
      </c>
    </row>
    <row r="21" spans="1:5" x14ac:dyDescent="0.3">
      <c r="A21" s="1">
        <v>0.8</v>
      </c>
      <c r="B21" s="1">
        <f t="shared" ref="B21:B24" si="5">H$3*B$8*E3</f>
        <v>9.999959999999998</v>
      </c>
    </row>
    <row r="22" spans="1:5" x14ac:dyDescent="0.3">
      <c r="A22" s="1">
        <v>0.8</v>
      </c>
      <c r="B22" s="1">
        <f t="shared" si="5"/>
        <v>6.4996585438485788</v>
      </c>
    </row>
    <row r="23" spans="1:5" x14ac:dyDescent="0.3">
      <c r="A23" s="1">
        <v>0.8</v>
      </c>
      <c r="B23" s="1">
        <f t="shared" si="5"/>
        <v>4.9778980694006298</v>
      </c>
      <c r="C23" s="4" t="s">
        <v>17</v>
      </c>
      <c r="D23" s="4" t="s">
        <v>18</v>
      </c>
      <c r="E23" s="4" t="s">
        <v>19</v>
      </c>
    </row>
    <row r="24" spans="1:5" x14ac:dyDescent="0.3">
      <c r="A24" s="1">
        <v>0.8</v>
      </c>
      <c r="B24" s="1">
        <f t="shared" si="5"/>
        <v>4.1148100391167173</v>
      </c>
      <c r="C24" s="1">
        <v>0</v>
      </c>
      <c r="D24" s="1">
        <f>31.107*C24^(0.7804)</f>
        <v>0</v>
      </c>
      <c r="E24" s="6" t="s">
        <v>20</v>
      </c>
    </row>
    <row r="25" spans="1:5" x14ac:dyDescent="0.3">
      <c r="A25" s="1">
        <v>1.4</v>
      </c>
      <c r="B25" s="1">
        <f>H$4*B$8*E2</f>
        <v>46.592708211997675</v>
      </c>
      <c r="C25" s="1">
        <f>C24+0.2</f>
        <v>0.2</v>
      </c>
      <c r="D25" s="1">
        <f t="shared" ref="D25:D37" si="6">31.107*C25^(0.7804)</f>
        <v>8.8589436210673913</v>
      </c>
      <c r="E25" s="6">
        <f>1/(D25*B$8)</f>
        <v>2.3764268607469465</v>
      </c>
    </row>
    <row r="26" spans="1:5" x14ac:dyDescent="0.3">
      <c r="A26" s="1">
        <v>1.4</v>
      </c>
      <c r="B26" s="1">
        <f t="shared" ref="B26:B29" si="7">H$4*B$8*E3</f>
        <v>15.385300524170066</v>
      </c>
      <c r="C26" s="1">
        <f t="shared" ref="C26:C37" si="8">C25+0.2</f>
        <v>0.4</v>
      </c>
      <c r="D26" s="1">
        <f t="shared" si="6"/>
        <v>15.216183829967747</v>
      </c>
      <c r="E26" s="6">
        <f t="shared" ref="E26:E37" si="9">1/(D26*B$8)</f>
        <v>1.3835684304421283</v>
      </c>
    </row>
    <row r="27" spans="1:5" x14ac:dyDescent="0.3">
      <c r="A27" s="1">
        <v>1.4</v>
      </c>
      <c r="B27" s="1">
        <f t="shared" si="7"/>
        <v>9.9999599999999997</v>
      </c>
      <c r="C27" s="1">
        <f t="shared" si="8"/>
        <v>0.60000000000000009</v>
      </c>
      <c r="D27" s="1">
        <f t="shared" si="6"/>
        <v>20.879849548508414</v>
      </c>
      <c r="E27" s="6">
        <f t="shared" si="9"/>
        <v>1.0082750610840152</v>
      </c>
    </row>
    <row r="28" spans="1:5" x14ac:dyDescent="0.3">
      <c r="A28" s="1">
        <v>1.4</v>
      </c>
      <c r="B28" s="1">
        <f t="shared" si="7"/>
        <v>7.658676412347118</v>
      </c>
      <c r="C28" s="1">
        <f t="shared" si="8"/>
        <v>0.8</v>
      </c>
      <c r="D28" s="1">
        <f t="shared" si="6"/>
        <v>26.135424295597357</v>
      </c>
      <c r="E28" s="6">
        <f t="shared" si="9"/>
        <v>0.80552094126490958</v>
      </c>
    </row>
    <row r="29" spans="1:5" x14ac:dyDescent="0.3">
      <c r="A29" s="1">
        <v>1.4</v>
      </c>
      <c r="B29" s="1">
        <f t="shared" si="7"/>
        <v>6.3307842283051823</v>
      </c>
      <c r="C29" s="1">
        <f t="shared" si="8"/>
        <v>1</v>
      </c>
      <c r="D29" s="1">
        <f t="shared" si="6"/>
        <v>31.106999999999999</v>
      </c>
      <c r="E29" s="6">
        <f t="shared" si="9"/>
        <v>0.67678116111959907</v>
      </c>
    </row>
    <row r="30" spans="1:5" x14ac:dyDescent="0.3">
      <c r="A30" s="1">
        <v>2</v>
      </c>
      <c r="B30" s="1">
        <f>H$5*B$8*E2</f>
        <v>60.836258555133078</v>
      </c>
      <c r="C30" s="1">
        <f t="shared" si="8"/>
        <v>1.2</v>
      </c>
      <c r="D30" s="1">
        <f t="shared" si="6"/>
        <v>35.863376341692167</v>
      </c>
      <c r="E30" s="6">
        <f t="shared" si="9"/>
        <v>0.58702313408436957</v>
      </c>
    </row>
    <row r="31" spans="1:5" x14ac:dyDescent="0.3">
      <c r="A31" s="1">
        <v>2</v>
      </c>
      <c r="B31" s="1">
        <f t="shared" ref="B31:B34" si="10">H$5*B$8*E3</f>
        <v>20.088639543726238</v>
      </c>
      <c r="C31" s="1">
        <f t="shared" si="8"/>
        <v>1.4</v>
      </c>
      <c r="D31" s="1">
        <f t="shared" si="6"/>
        <v>40.447943744113459</v>
      </c>
      <c r="E31" s="6">
        <f t="shared" si="9"/>
        <v>0.52048706634218544</v>
      </c>
    </row>
    <row r="32" spans="1:5" x14ac:dyDescent="0.3">
      <c r="A32" s="1">
        <v>2</v>
      </c>
      <c r="B32" s="1">
        <f t="shared" si="10"/>
        <v>13.056981992395436</v>
      </c>
      <c r="C32" s="1">
        <f t="shared" si="8"/>
        <v>1.5999999999999999</v>
      </c>
      <c r="D32" s="1">
        <f t="shared" si="6"/>
        <v>44.89038846689251</v>
      </c>
      <c r="E32" s="6">
        <f t="shared" si="9"/>
        <v>0.46897860094202731</v>
      </c>
    </row>
    <row r="33" spans="1:5" x14ac:dyDescent="0.3">
      <c r="A33" s="1">
        <v>2</v>
      </c>
      <c r="B33" s="1">
        <f t="shared" si="10"/>
        <v>9.9999599999999997</v>
      </c>
      <c r="C33" s="1">
        <f t="shared" si="8"/>
        <v>1.7999999999999998</v>
      </c>
      <c r="D33" s="1">
        <f t="shared" si="6"/>
        <v>49.212201343236252</v>
      </c>
      <c r="E33" s="6">
        <f t="shared" si="9"/>
        <v>0.42779292541931474</v>
      </c>
    </row>
    <row r="34" spans="1:5" x14ac:dyDescent="0.3">
      <c r="A34" s="1">
        <v>2</v>
      </c>
      <c r="B34" s="1">
        <f t="shared" si="10"/>
        <v>8.2661266311787056</v>
      </c>
      <c r="C34" s="1">
        <f>C33+0.2</f>
        <v>1.9999999999999998</v>
      </c>
      <c r="D34" s="1">
        <f t="shared" si="6"/>
        <v>53.429601840244736</v>
      </c>
      <c r="E34" s="6">
        <f t="shared" si="9"/>
        <v>0.39402561227940708</v>
      </c>
    </row>
    <row r="35" spans="1:5" x14ac:dyDescent="0.3">
      <c r="A35" s="1">
        <v>2.6</v>
      </c>
      <c r="B35" s="1">
        <f>H$6*B$8*E2</f>
        <v>73.59676172953084</v>
      </c>
      <c r="C35" s="1">
        <f t="shared" si="8"/>
        <v>2.1999999999999997</v>
      </c>
      <c r="D35" s="1">
        <f t="shared" si="6"/>
        <v>57.555229409248348</v>
      </c>
      <c r="E35" s="6">
        <f t="shared" si="9"/>
        <v>0.36578138589722126</v>
      </c>
    </row>
    <row r="36" spans="1:5" x14ac:dyDescent="0.3">
      <c r="A36" s="1">
        <v>2.6</v>
      </c>
      <c r="B36" s="1">
        <f t="shared" ref="B36:B39" si="11">H$6*B$8*E3</f>
        <v>24.302264029438831</v>
      </c>
      <c r="C36" s="1">
        <f t="shared" si="8"/>
        <v>2.4</v>
      </c>
      <c r="D36" s="1">
        <f t="shared" si="6"/>
        <v>61.599187275644248</v>
      </c>
      <c r="E36" s="6">
        <f t="shared" si="9"/>
        <v>0.3417680088008464</v>
      </c>
    </row>
    <row r="37" spans="1:5" x14ac:dyDescent="0.3">
      <c r="A37" s="1">
        <v>2.6</v>
      </c>
      <c r="B37" s="1">
        <f t="shared" si="11"/>
        <v>15.795704986200555</v>
      </c>
      <c r="C37" s="1">
        <f t="shared" si="8"/>
        <v>2.6</v>
      </c>
      <c r="D37" s="1">
        <f t="shared" si="6"/>
        <v>65.569720126076845</v>
      </c>
      <c r="E37" s="6">
        <f t="shared" si="9"/>
        <v>0.32107246360770741</v>
      </c>
    </row>
    <row r="38" spans="1:5" x14ac:dyDescent="0.3">
      <c r="A38" s="1">
        <v>2.6</v>
      </c>
      <c r="B38" s="1">
        <f t="shared" si="11"/>
        <v>12.097467709291632</v>
      </c>
    </row>
    <row r="39" spans="1:5" x14ac:dyDescent="0.3">
      <c r="A39" s="1">
        <v>2.6</v>
      </c>
      <c r="B39" s="1">
        <f t="shared" si="11"/>
        <v>9.9999599999999997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Ballatore, Marco (UT-ET)</dc:creator>
  <cp:lastModifiedBy>Ballatore, Marco (UT-ET)</cp:lastModifiedBy>
  <dcterms:created xsi:type="dcterms:W3CDTF">2026-05-15T17:17:09Z</dcterms:created>
  <dcterms:modified xsi:type="dcterms:W3CDTF">2026-06-06T19:25:18Z</dcterms:modified>
</cp:coreProperties>
</file>